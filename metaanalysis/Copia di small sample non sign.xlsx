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ssi\OneDrive\Desktop\monaco 22 feb\"/>
    </mc:Choice>
  </mc:AlternateContent>
  <xr:revisionPtr revIDLastSave="0" documentId="8_{4C37815A-2E46-4F1F-A514-6CBE9A487D2B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J20" i="1"/>
  <c r="I20" i="1"/>
  <c r="I21" i="1"/>
  <c r="J21" i="1"/>
  <c r="K14" i="1"/>
  <c r="I17" i="1"/>
  <c r="I14" i="1"/>
  <c r="I5" i="1"/>
  <c r="H17" i="1"/>
  <c r="J17" i="1"/>
  <c r="K17" i="1" s="1"/>
  <c r="J14" i="1"/>
  <c r="J11" i="1"/>
  <c r="K11" i="1" s="1"/>
  <c r="J8" i="1"/>
  <c r="K8" i="1" s="1"/>
  <c r="J5" i="1"/>
  <c r="K5" i="1" s="1"/>
  <c r="H8" i="1"/>
  <c r="H14" i="1"/>
  <c r="I11" i="1"/>
  <c r="H11" i="1"/>
  <c r="I8" i="1"/>
  <c r="H5" i="1"/>
</calcChain>
</file>

<file path=xl/sharedStrings.xml><?xml version="1.0" encoding="utf-8"?>
<sst xmlns="http://schemas.openxmlformats.org/spreadsheetml/2006/main" count="31" uniqueCount="29">
  <si>
    <t>pvalue</t>
  </si>
  <si>
    <t>trial 1</t>
  </si>
  <si>
    <t>exp1</t>
  </si>
  <si>
    <t>ctr1</t>
  </si>
  <si>
    <t>obs1</t>
  </si>
  <si>
    <t>obs2</t>
  </si>
  <si>
    <t>obs3</t>
  </si>
  <si>
    <t>obs4</t>
  </si>
  <si>
    <t>obs5</t>
  </si>
  <si>
    <t>m(exp)</t>
  </si>
  <si>
    <t>m(ctr)</t>
  </si>
  <si>
    <t>arms</t>
  </si>
  <si>
    <t>metaArm</t>
  </si>
  <si>
    <t>exp</t>
  </si>
  <si>
    <t>ctr</t>
  </si>
  <si>
    <t>trial 2</t>
  </si>
  <si>
    <t>trial 3</t>
  </si>
  <si>
    <t>trial 4</t>
  </si>
  <si>
    <t>trial 5</t>
  </si>
  <si>
    <t>exp5</t>
  </si>
  <si>
    <t>ctr5</t>
  </si>
  <si>
    <t>exp4</t>
  </si>
  <si>
    <t>ctr4</t>
  </si>
  <si>
    <t>exp3</t>
  </si>
  <si>
    <t>ctr3</t>
  </si>
  <si>
    <t>exp2</t>
  </si>
  <si>
    <t>ctr2</t>
  </si>
  <si>
    <t>m(media exp)</t>
  </si>
  <si>
    <t>m(media ctr)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</si>
</sst>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1"/>
  <sheetViews>
    <sheetView tabSelected="1" workbookViewId="0">
      <selection activeCell="H22" sqref="H22"/>
    </sheetView>
  </sheetViews>
  <sheetFormatPr defaultRowHeight="14.25" x14ac:dyDescent="0.45"/>
  <cols>
    <col min="2" max="2" width="14.59765625" customWidth="1"/>
    <col min="8" max="8" width="13.59765625" customWidth="1"/>
    <col min="9" max="9" width="12.265625" customWidth="1"/>
  </cols>
  <sheetData>
    <row r="4" spans="1:11" x14ac:dyDescent="0.45">
      <c r="B4" s="3" t="s">
        <v>11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2" t="s">
        <v>9</v>
      </c>
      <c r="I4" s="2" t="s">
        <v>10</v>
      </c>
      <c r="J4" s="1" t="s">
        <v>0</v>
      </c>
      <c r="K4" s="1"/>
    </row>
    <row r="5" spans="1:11" x14ac:dyDescent="0.45">
      <c r="A5" s="4" t="s">
        <v>1</v>
      </c>
      <c r="B5" s="1" t="s">
        <v>2</v>
      </c>
      <c r="C5" s="1">
        <v>0.2</v>
      </c>
      <c r="D5" s="1">
        <v>0.3</v>
      </c>
      <c r="E5" s="1">
        <v>0.3</v>
      </c>
      <c r="F5" s="1">
        <v>0.51</v>
      </c>
      <c r="G5" s="1">
        <v>0.6</v>
      </c>
      <c r="H5" s="2">
        <f>AVERAGE(C5:G5)</f>
        <v>0.38200000000000001</v>
      </c>
      <c r="I5" s="2">
        <f>AVERAGE(C6:G6)</f>
        <v>0.39</v>
      </c>
      <c r="J5" s="1">
        <f>_xlfn.T.TEST(C5:G5,C6:G6,2, 1)</f>
        <v>0.49535430889103127</v>
      </c>
      <c r="K5" s="1" t="str">
        <f>IF(J5&lt;0.05,"Sign","Non Sign")</f>
        <v>Non Sign</v>
      </c>
    </row>
    <row r="6" spans="1:11" x14ac:dyDescent="0.45">
      <c r="A6" s="4"/>
      <c r="B6" s="1" t="s">
        <v>3</v>
      </c>
      <c r="C6" s="1">
        <v>0.2</v>
      </c>
      <c r="D6" s="1">
        <v>0.35</v>
      </c>
      <c r="E6" s="1">
        <v>0.3</v>
      </c>
      <c r="F6" s="1">
        <v>0.5</v>
      </c>
      <c r="G6" s="1">
        <v>0.6</v>
      </c>
      <c r="H6" s="2"/>
      <c r="I6" s="2"/>
      <c r="J6" s="1"/>
      <c r="K6" s="1"/>
    </row>
    <row r="7" spans="1:11" x14ac:dyDescent="0.45">
      <c r="B7" s="1"/>
      <c r="C7" s="1"/>
      <c r="D7" s="1"/>
      <c r="E7" s="1"/>
      <c r="F7" s="1"/>
      <c r="G7" s="1"/>
      <c r="H7" s="2"/>
      <c r="I7" s="2"/>
      <c r="J7" s="1"/>
      <c r="K7" s="1"/>
    </row>
    <row r="8" spans="1:11" x14ac:dyDescent="0.45">
      <c r="A8" s="4" t="s">
        <v>15</v>
      </c>
      <c r="B8" s="1" t="s">
        <v>25</v>
      </c>
      <c r="C8" s="1">
        <v>0.2</v>
      </c>
      <c r="D8" s="1">
        <v>0.3</v>
      </c>
      <c r="E8" s="1">
        <v>0.28000000000000003</v>
      </c>
      <c r="F8" s="1">
        <v>0.5</v>
      </c>
      <c r="G8" s="1">
        <v>0.6</v>
      </c>
      <c r="H8" s="2">
        <f>AVERAGE(C8:G8)</f>
        <v>0.376</v>
      </c>
      <c r="I8" s="2">
        <f>AVERAGE(C9:G9)</f>
        <v>0.52</v>
      </c>
      <c r="J8" s="1">
        <f>_xlfn.T.TEST(C8:G8,C9:G9,2, 1)</f>
        <v>0.18130341427595284</v>
      </c>
      <c r="K8" s="1" t="str">
        <f>IF(J8&lt;0.05,"Sign","Non Sign")</f>
        <v>Non Sign</v>
      </c>
    </row>
    <row r="9" spans="1:11" x14ac:dyDescent="0.45">
      <c r="A9" s="4"/>
      <c r="B9" s="1" t="s">
        <v>26</v>
      </c>
      <c r="C9" s="1">
        <v>0.2</v>
      </c>
      <c r="D9" s="1">
        <v>0.7</v>
      </c>
      <c r="E9" s="1">
        <v>0.6</v>
      </c>
      <c r="F9" s="1">
        <v>0.5</v>
      </c>
      <c r="G9" s="1">
        <v>0.6</v>
      </c>
      <c r="H9" s="2"/>
      <c r="I9" s="2"/>
      <c r="J9" s="1"/>
      <c r="K9" s="1"/>
    </row>
    <row r="10" spans="1:11" x14ac:dyDescent="0.45">
      <c r="B10" s="1"/>
      <c r="C10" s="1"/>
      <c r="D10" s="1"/>
      <c r="E10" s="1"/>
      <c r="F10" s="1"/>
      <c r="G10" s="1"/>
      <c r="H10" s="2"/>
      <c r="I10" s="2"/>
      <c r="J10" s="1"/>
      <c r="K10" s="1"/>
    </row>
    <row r="11" spans="1:11" x14ac:dyDescent="0.45">
      <c r="A11" s="4" t="s">
        <v>16</v>
      </c>
      <c r="B11" s="1" t="s">
        <v>23</v>
      </c>
      <c r="C11" s="1">
        <v>0.2</v>
      </c>
      <c r="D11" s="1">
        <v>0.3</v>
      </c>
      <c r="E11" s="1">
        <v>0.23</v>
      </c>
      <c r="F11" s="1">
        <v>0.5</v>
      </c>
      <c r="G11" s="1">
        <v>0.6</v>
      </c>
      <c r="H11" s="2">
        <f>AVERAGE(C11:G11)</f>
        <v>0.36599999999999999</v>
      </c>
      <c r="I11" s="2">
        <f>AVERAGE(C12:G12)</f>
        <v>0.51</v>
      </c>
      <c r="J11" s="1">
        <f>_xlfn.T.TEST(C11:G11,C12:G12,2, 1)</f>
        <v>7.8010123190819389E-2</v>
      </c>
      <c r="K11" s="1" t="str">
        <f>IF(J11&lt;0.05,"Sign","Non Sign")</f>
        <v>Non Sign</v>
      </c>
    </row>
    <row r="12" spans="1:11" x14ac:dyDescent="0.45">
      <c r="A12" s="4"/>
      <c r="B12" s="1" t="s">
        <v>24</v>
      </c>
      <c r="C12" s="1">
        <v>0.4</v>
      </c>
      <c r="D12" s="1">
        <v>0.6</v>
      </c>
      <c r="E12" s="1">
        <v>0.45</v>
      </c>
      <c r="F12" s="1">
        <v>0.5</v>
      </c>
      <c r="G12" s="1">
        <v>0.6</v>
      </c>
      <c r="H12" s="2"/>
      <c r="I12" s="2"/>
      <c r="J12" s="1"/>
      <c r="K12" s="1"/>
    </row>
    <row r="13" spans="1:11" x14ac:dyDescent="0.45">
      <c r="B13" s="1"/>
      <c r="C13" s="1"/>
      <c r="D13" s="1"/>
      <c r="E13" s="1"/>
      <c r="F13" s="1"/>
      <c r="G13" s="1"/>
      <c r="H13" s="2"/>
      <c r="I13" s="2"/>
      <c r="J13" s="1"/>
      <c r="K13" s="1"/>
    </row>
    <row r="14" spans="1:11" x14ac:dyDescent="0.45">
      <c r="A14" s="4" t="s">
        <v>17</v>
      </c>
      <c r="B14" s="1" t="s">
        <v>21</v>
      </c>
      <c r="C14" s="1">
        <v>0.2</v>
      </c>
      <c r="D14" s="1">
        <v>0.3</v>
      </c>
      <c r="E14" s="1">
        <v>0.3</v>
      </c>
      <c r="F14" s="1">
        <v>0.8</v>
      </c>
      <c r="G14" s="1">
        <v>0.6</v>
      </c>
      <c r="H14" s="2">
        <f>AVERAGE(C14:G14)</f>
        <v>0.44000000000000006</v>
      </c>
      <c r="I14" s="2">
        <f>AVERAGE(C15:G15)</f>
        <v>0.46000000000000008</v>
      </c>
      <c r="J14" s="1">
        <f>_xlfn.T.TEST(C14:G14,C15:G15,2, 1)</f>
        <v>0.84664323579358736</v>
      </c>
      <c r="K14" s="1" t="str">
        <f>IF(J14&lt;0.05,"Sign","Non Sign")</f>
        <v>Non Sign</v>
      </c>
    </row>
    <row r="15" spans="1:11" x14ac:dyDescent="0.45">
      <c r="A15" s="4"/>
      <c r="B15" s="1" t="s">
        <v>22</v>
      </c>
      <c r="C15" s="1">
        <v>0.5</v>
      </c>
      <c r="D15" s="1">
        <v>0.3</v>
      </c>
      <c r="E15" s="1">
        <v>0.4</v>
      </c>
      <c r="F15" s="1">
        <v>0.5</v>
      </c>
      <c r="G15" s="1">
        <v>0.6</v>
      </c>
      <c r="H15" s="2"/>
      <c r="I15" s="2"/>
      <c r="J15" s="1"/>
      <c r="K15" s="1"/>
    </row>
    <row r="16" spans="1:11" x14ac:dyDescent="0.45">
      <c r="B16" s="1"/>
      <c r="C16" s="1"/>
      <c r="D16" s="1"/>
      <c r="E16" s="1"/>
      <c r="F16" s="1"/>
      <c r="G16" s="1"/>
      <c r="H16" s="2"/>
      <c r="I16" s="2"/>
      <c r="J16" s="1"/>
      <c r="K16" s="1"/>
    </row>
    <row r="17" spans="1:11" x14ac:dyDescent="0.45">
      <c r="A17" s="4" t="s">
        <v>18</v>
      </c>
      <c r="B17" s="1" t="s">
        <v>19</v>
      </c>
      <c r="C17" s="1">
        <v>0.2</v>
      </c>
      <c r="D17" s="1">
        <v>0.3</v>
      </c>
      <c r="E17" s="1">
        <v>0.3</v>
      </c>
      <c r="F17" s="1">
        <v>0.7</v>
      </c>
      <c r="G17" s="1">
        <v>0.6</v>
      </c>
      <c r="H17" s="2">
        <f>AVERAGE(C17:G17)</f>
        <v>0.42000000000000004</v>
      </c>
      <c r="I17" s="2">
        <f>AVERAGE(C18:G18)</f>
        <v>0.45999999999999996</v>
      </c>
      <c r="J17" s="1">
        <f>_xlfn.T.TEST(C17:G17,C18:G18,2, 1)</f>
        <v>0.66508573128915049</v>
      </c>
      <c r="K17" s="1" t="str">
        <f>IF(J17&lt;0.05,"Sign","Non Sign")</f>
        <v>Non Sign</v>
      </c>
    </row>
    <row r="18" spans="1:11" x14ac:dyDescent="0.45">
      <c r="A18" s="4"/>
      <c r="B18" s="1" t="s">
        <v>20</v>
      </c>
      <c r="C18" s="1">
        <v>0.5</v>
      </c>
      <c r="D18" s="1">
        <v>0.25</v>
      </c>
      <c r="E18" s="1">
        <v>0.45</v>
      </c>
      <c r="F18" s="1">
        <v>0.5</v>
      </c>
      <c r="G18" s="1">
        <v>0.6</v>
      </c>
      <c r="H18" s="1"/>
      <c r="I18" s="1"/>
      <c r="J18" s="1"/>
      <c r="K18" s="1"/>
    </row>
    <row r="19" spans="1:11" x14ac:dyDescent="0.45">
      <c r="B19" s="1"/>
      <c r="C19" s="1"/>
      <c r="D19" s="1"/>
      <c r="E19" s="1"/>
      <c r="F19" s="1"/>
      <c r="G19" s="1"/>
      <c r="H19" s="1" t="s">
        <v>27</v>
      </c>
      <c r="I19" s="1" t="s">
        <v>28</v>
      </c>
      <c r="J19" s="1" t="s">
        <v>0</v>
      </c>
      <c r="K19" s="1"/>
    </row>
    <row r="20" spans="1:11" x14ac:dyDescent="0.45">
      <c r="B20" s="1"/>
      <c r="C20" s="1"/>
      <c r="D20" s="1"/>
      <c r="E20" s="1"/>
      <c r="F20" s="1"/>
      <c r="G20" s="1"/>
      <c r="H20" s="1">
        <f>AVERAGE(H5:H17)</f>
        <v>0.39679999999999999</v>
      </c>
      <c r="I20" s="1">
        <f>AVERAGE(I5:I17)</f>
        <v>0.46799999999999997</v>
      </c>
      <c r="J20" s="1">
        <f>_xlfn.T.TEST(C20:G24,C26:G30,2, 1)</f>
        <v>4.3810359594716464E-2</v>
      </c>
      <c r="K20" s="1"/>
    </row>
    <row r="21" spans="1:11" x14ac:dyDescent="0.45">
      <c r="A21" s="4" t="s">
        <v>12</v>
      </c>
      <c r="B21" s="4" t="s">
        <v>13</v>
      </c>
      <c r="C21" s="1">
        <v>0.2</v>
      </c>
      <c r="D21" s="1">
        <v>0.3</v>
      </c>
      <c r="E21" s="1">
        <v>0.3</v>
      </c>
      <c r="F21" s="1">
        <v>0.51</v>
      </c>
      <c r="G21" s="1">
        <v>0.6</v>
      </c>
      <c r="H21" s="1">
        <f>AVERAGE(C21:G25)</f>
        <v>0.39679999999999999</v>
      </c>
      <c r="I21" s="1">
        <f>AVERAGE(C27:G31)</f>
        <v>0.46799999999999997</v>
      </c>
      <c r="J21" s="1">
        <f>_xlfn.T.TEST(C21:G25,C27:G31,2, 1)</f>
        <v>4.2365804684592279E-2</v>
      </c>
      <c r="K21" s="1"/>
    </row>
    <row r="22" spans="1:11" x14ac:dyDescent="0.45">
      <c r="A22" s="4"/>
      <c r="B22" s="4"/>
      <c r="C22" s="1">
        <v>0.2</v>
      </c>
      <c r="D22" s="1">
        <v>0.3</v>
      </c>
      <c r="E22" s="1">
        <v>0.28000000000000003</v>
      </c>
      <c r="F22" s="1">
        <v>0.5</v>
      </c>
      <c r="G22" s="1">
        <v>0.6</v>
      </c>
      <c r="H22" s="1"/>
      <c r="I22" s="1"/>
      <c r="J22" s="1"/>
      <c r="K22" s="1"/>
    </row>
    <row r="23" spans="1:11" x14ac:dyDescent="0.45">
      <c r="A23" s="4"/>
      <c r="B23" s="4"/>
      <c r="C23" s="1">
        <v>0.2</v>
      </c>
      <c r="D23" s="1">
        <v>0.3</v>
      </c>
      <c r="E23" s="1">
        <v>0.23</v>
      </c>
      <c r="F23" s="1">
        <v>0.5</v>
      </c>
      <c r="G23" s="1">
        <v>0.6</v>
      </c>
      <c r="H23" s="1"/>
      <c r="I23" s="1"/>
      <c r="J23" s="1"/>
      <c r="K23" s="1"/>
    </row>
    <row r="24" spans="1:11" x14ac:dyDescent="0.45">
      <c r="A24" s="4"/>
      <c r="B24" s="4"/>
      <c r="C24" s="1">
        <v>0.2</v>
      </c>
      <c r="D24" s="1">
        <v>0.3</v>
      </c>
      <c r="E24" s="1">
        <v>0.3</v>
      </c>
      <c r="F24" s="1">
        <v>0.8</v>
      </c>
      <c r="G24" s="1">
        <v>0.6</v>
      </c>
      <c r="H24" s="1"/>
      <c r="I24" s="1"/>
      <c r="J24" s="1"/>
      <c r="K24" s="1"/>
    </row>
    <row r="25" spans="1:11" x14ac:dyDescent="0.45">
      <c r="A25" s="4"/>
      <c r="B25" s="4"/>
      <c r="C25" s="1">
        <v>0.2</v>
      </c>
      <c r="D25" s="1">
        <v>0.3</v>
      </c>
      <c r="E25" s="1">
        <v>0.3</v>
      </c>
      <c r="F25" s="1">
        <v>0.7</v>
      </c>
      <c r="G25" s="1">
        <v>0.6</v>
      </c>
    </row>
    <row r="27" spans="1:11" x14ac:dyDescent="0.45">
      <c r="A27" s="4" t="s">
        <v>12</v>
      </c>
      <c r="B27" s="4" t="s">
        <v>14</v>
      </c>
      <c r="C27" s="1">
        <v>0.2</v>
      </c>
      <c r="D27" s="1">
        <v>0.35</v>
      </c>
      <c r="E27" s="1">
        <v>0.3</v>
      </c>
      <c r="F27" s="1">
        <v>0.5</v>
      </c>
      <c r="G27" s="1">
        <v>0.6</v>
      </c>
    </row>
    <row r="28" spans="1:11" x14ac:dyDescent="0.45">
      <c r="A28" s="4"/>
      <c r="B28" s="4"/>
      <c r="C28" s="1">
        <v>0.2</v>
      </c>
      <c r="D28" s="1">
        <v>0.7</v>
      </c>
      <c r="E28" s="1">
        <v>0.6</v>
      </c>
      <c r="F28" s="1">
        <v>0.5</v>
      </c>
      <c r="G28" s="1">
        <v>0.6</v>
      </c>
    </row>
    <row r="29" spans="1:11" x14ac:dyDescent="0.45">
      <c r="A29" s="4"/>
      <c r="B29" s="4"/>
      <c r="C29" s="1">
        <v>0.4</v>
      </c>
      <c r="D29" s="1">
        <v>0.6</v>
      </c>
      <c r="E29" s="1">
        <v>0.45</v>
      </c>
      <c r="F29" s="1">
        <v>0.5</v>
      </c>
      <c r="G29" s="1">
        <v>0.6</v>
      </c>
    </row>
    <row r="30" spans="1:11" x14ac:dyDescent="0.45">
      <c r="A30" s="4"/>
      <c r="B30" s="4"/>
      <c r="C30" s="1">
        <v>0.5</v>
      </c>
      <c r="D30" s="1">
        <v>0.3</v>
      </c>
      <c r="E30" s="1">
        <v>0.4</v>
      </c>
      <c r="F30" s="1">
        <v>0.5</v>
      </c>
      <c r="G30" s="1">
        <v>0.6</v>
      </c>
    </row>
    <row r="31" spans="1:11" x14ac:dyDescent="0.45">
      <c r="A31" s="4"/>
      <c r="B31" s="4"/>
      <c r="C31" s="1">
        <v>0.5</v>
      </c>
      <c r="D31" s="1">
        <v>0.25</v>
      </c>
      <c r="E31" s="1">
        <v>0.45</v>
      </c>
      <c r="F31" s="1">
        <v>0.5</v>
      </c>
      <c r="G31" s="1">
        <v>0.6</v>
      </c>
    </row>
  </sheetData>
  <mergeCells count="9">
    <mergeCell ref="A27:A31"/>
    <mergeCell ref="B27:B31"/>
    <mergeCell ref="A14:A15"/>
    <mergeCell ref="A17:A18"/>
    <mergeCell ref="A5:A6"/>
    <mergeCell ref="A8:A9"/>
    <mergeCell ref="A11:A12"/>
    <mergeCell ref="B21:B25"/>
    <mergeCell ref="A21:A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Attanasio</dc:creator>
  <cp:lastModifiedBy>MASSIMO ATTANASIO</cp:lastModifiedBy>
  <dcterms:created xsi:type="dcterms:W3CDTF">2024-02-05T17:51:32Z</dcterms:created>
  <dcterms:modified xsi:type="dcterms:W3CDTF">2026-02-22T22:18:28Z</dcterms:modified>
</cp:coreProperties>
</file>