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BIELLO\META_NAPOLI_2024\MASSIMO\"/>
    </mc:Choice>
  </mc:AlternateContent>
  <xr:revisionPtr revIDLastSave="0" documentId="13_ncr:1_{98EE410E-A420-483F-A029-702D76E30F1B}" xr6:coauthVersionLast="47" xr6:coauthVersionMax="47" xr10:uidLastSave="{00000000-0000-0000-0000-000000000000}"/>
  <bookViews>
    <workbookView xWindow="-110" yWindow="-110" windowWidth="19420" windowHeight="10300" xr2:uid="{D7D5F38C-89D5-4F48-8C65-2E9CFB6A4BB0}"/>
  </bookViews>
  <sheets>
    <sheet name="Foglio1" sheetId="1" r:id="rId1"/>
    <sheet name="Foglio2" sheetId="2" r:id="rId2"/>
  </sheets>
  <definedNames>
    <definedName name="_xlnm._FilterDatabase" localSheetId="0" hidden="1">Foglio1!$A$2:$C$44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D22" i="2"/>
  <c r="D20" i="2"/>
  <c r="D18" i="2"/>
  <c r="D16" i="2"/>
  <c r="D14" i="2"/>
  <c r="D12" i="2"/>
  <c r="D10" i="2"/>
  <c r="D8" i="2"/>
  <c r="D6" i="2"/>
  <c r="B22" i="2"/>
  <c r="B20" i="2"/>
  <c r="B18" i="2"/>
  <c r="B16" i="2"/>
  <c r="B14" i="2"/>
  <c r="B12" i="2"/>
  <c r="B10" i="2"/>
  <c r="B8" i="2"/>
  <c r="B6" i="2"/>
  <c r="G4" i="1"/>
  <c r="G5" i="1"/>
  <c r="G6" i="1"/>
  <c r="G7" i="1"/>
  <c r="G8" i="1"/>
  <c r="G9" i="1"/>
  <c r="G10" i="1"/>
  <c r="G11" i="1"/>
  <c r="G12" i="1"/>
  <c r="G3" i="1"/>
  <c r="M9" i="1"/>
  <c r="M10" i="1"/>
  <c r="M11" i="1" s="1"/>
  <c r="M12" i="1" s="1"/>
  <c r="F9" i="1"/>
  <c r="M8" i="1"/>
  <c r="M7" i="1"/>
  <c r="M6" i="1"/>
  <c r="M5" i="1"/>
  <c r="M4" i="1"/>
  <c r="M3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J13" i="1" s="1"/>
  <c r="K3" i="1"/>
  <c r="J10" i="1" l="1"/>
  <c r="J9" i="1"/>
  <c r="J11" i="1"/>
  <c r="J8" i="1"/>
  <c r="J7" i="1"/>
  <c r="J3" i="1"/>
  <c r="J6" i="1"/>
  <c r="J5" i="1"/>
  <c r="J12" i="1"/>
  <c r="J4" i="1"/>
  <c r="K4" i="1"/>
  <c r="K5" i="1" l="1"/>
  <c r="K6" i="1" l="1"/>
  <c r="K7" i="1" l="1"/>
  <c r="K8" i="1" l="1"/>
  <c r="K9" i="1" l="1"/>
  <c r="K10" i="1" l="1"/>
  <c r="K11" i="1" l="1"/>
  <c r="K12" i="1" l="1"/>
  <c r="K13" i="1" l="1"/>
</calcChain>
</file>

<file path=xl/sharedStrings.xml><?xml version="1.0" encoding="utf-8"?>
<sst xmlns="http://schemas.openxmlformats.org/spreadsheetml/2006/main" count="62" uniqueCount="11">
  <si>
    <t>pts</t>
  </si>
  <si>
    <t>gr</t>
  </si>
  <si>
    <t>age</t>
  </si>
  <si>
    <t>ctrl</t>
  </si>
  <si>
    <t>exp</t>
  </si>
  <si>
    <t>Cum(%)</t>
  </si>
  <si>
    <t>META CTRL</t>
  </si>
  <si>
    <t>META EXP</t>
  </si>
  <si>
    <t>CTRL</t>
  </si>
  <si>
    <t>EXP</t>
  </si>
  <si>
    <t>p(male)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</si>
</sst>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" xfId="0" applyBorder="1"/>
    <xf numFmtId="2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37DF-A1E4-41C1-BCB2-AABC72AB1560}">
  <dimension ref="A1:N44"/>
  <sheetViews>
    <sheetView tabSelected="1" workbookViewId="0">
      <selection activeCell="E1" sqref="E1:J13"/>
    </sheetView>
  </sheetViews>
  <sheetFormatPr defaultRowHeight="14" x14ac:dyDescent="0.3"/>
  <cols>
    <col min="5" max="10" width="8.6640625" style="1"/>
  </cols>
  <sheetData>
    <row r="1" spans="1:14" x14ac:dyDescent="0.3">
      <c r="E1" s="11" t="s">
        <v>6</v>
      </c>
      <c r="F1" s="11"/>
      <c r="G1" s="11"/>
      <c r="H1" s="12" t="s">
        <v>7</v>
      </c>
      <c r="I1" s="11"/>
      <c r="J1" s="11"/>
    </row>
    <row r="2" spans="1:14" x14ac:dyDescent="0.3">
      <c r="A2" t="s">
        <v>0</v>
      </c>
      <c r="B2" t="s">
        <v>2</v>
      </c>
      <c r="C2" t="s">
        <v>1</v>
      </c>
      <c r="D2" t="s">
        <v>3</v>
      </c>
      <c r="E2" s="2" t="s">
        <v>10</v>
      </c>
      <c r="F2" s="2" t="s">
        <v>0</v>
      </c>
      <c r="G2" s="2" t="s">
        <v>5</v>
      </c>
      <c r="H2" s="7" t="s">
        <v>10</v>
      </c>
      <c r="I2" s="2" t="s">
        <v>0</v>
      </c>
      <c r="J2" s="2" t="s">
        <v>5</v>
      </c>
      <c r="M2" s="13" t="s">
        <v>8</v>
      </c>
      <c r="N2" s="13" t="s">
        <v>9</v>
      </c>
    </row>
    <row r="3" spans="1:14" x14ac:dyDescent="0.3">
      <c r="A3">
        <v>2223</v>
      </c>
      <c r="B3">
        <v>58.6</v>
      </c>
      <c r="C3" t="s">
        <v>3</v>
      </c>
      <c r="E3" s="15">
        <v>0.48</v>
      </c>
      <c r="F3" s="1">
        <v>2913</v>
      </c>
      <c r="G3" s="3">
        <f>M3/$M$12</f>
        <v>9.0505188591312999E-2</v>
      </c>
      <c r="H3" s="16">
        <v>0.48</v>
      </c>
      <c r="I3" s="9">
        <v>2891</v>
      </c>
      <c r="J3" s="10">
        <f>N3/$N$13</f>
        <v>8.9740803973304362E-2</v>
      </c>
      <c r="K3">
        <f>I3</f>
        <v>2891</v>
      </c>
      <c r="M3">
        <f>F3</f>
        <v>2913</v>
      </c>
      <c r="N3">
        <f>I3</f>
        <v>2891</v>
      </c>
    </row>
    <row r="4" spans="1:14" x14ac:dyDescent="0.3">
      <c r="A4">
        <v>2221</v>
      </c>
      <c r="B4">
        <v>58.6</v>
      </c>
      <c r="C4" t="s">
        <v>4</v>
      </c>
      <c r="E4" s="15">
        <v>0.54</v>
      </c>
      <c r="F4" s="1">
        <v>636</v>
      </c>
      <c r="G4" s="3">
        <f t="shared" ref="G4:G12" si="0">M4/$M$12</f>
        <v>0.11026533275337103</v>
      </c>
      <c r="H4" s="16">
        <v>0.54</v>
      </c>
      <c r="I4" s="9">
        <v>619</v>
      </c>
      <c r="J4" s="10">
        <f>N4/$N$13</f>
        <v>0.10895545553313674</v>
      </c>
      <c r="K4">
        <f>K3+I4</f>
        <v>3510</v>
      </c>
      <c r="M4">
        <f>M3+F4</f>
        <v>3549</v>
      </c>
      <c r="N4">
        <f>N3+I4</f>
        <v>3510</v>
      </c>
    </row>
    <row r="5" spans="1:14" x14ac:dyDescent="0.3">
      <c r="A5">
        <v>3293</v>
      </c>
      <c r="B5">
        <v>55.1</v>
      </c>
      <c r="C5" t="s">
        <v>3</v>
      </c>
      <c r="E5" s="15">
        <v>0.65</v>
      </c>
      <c r="F5" s="1">
        <v>1052</v>
      </c>
      <c r="G5" s="3">
        <f t="shared" si="0"/>
        <v>0.14295035108432239</v>
      </c>
      <c r="H5" s="16">
        <v>0.67</v>
      </c>
      <c r="I5" s="9">
        <v>1050</v>
      </c>
      <c r="J5" s="10">
        <f>N5/$N$13</f>
        <v>0.14154896787210927</v>
      </c>
      <c r="K5">
        <f>K4+I5</f>
        <v>4560</v>
      </c>
      <c r="M5">
        <f>M4+F5</f>
        <v>4601</v>
      </c>
      <c r="N5">
        <f>N4+I5</f>
        <v>4560</v>
      </c>
    </row>
    <row r="6" spans="1:14" x14ac:dyDescent="0.3">
      <c r="A6">
        <v>3302</v>
      </c>
      <c r="B6">
        <v>56.3</v>
      </c>
      <c r="C6" t="s">
        <v>4</v>
      </c>
      <c r="E6" s="15">
        <v>0.68</v>
      </c>
      <c r="F6" s="1">
        <v>1410</v>
      </c>
      <c r="G6" s="3">
        <f t="shared" si="0"/>
        <v>0.18675821785869634</v>
      </c>
      <c r="H6" s="16">
        <v>0.68</v>
      </c>
      <c r="I6" s="9">
        <v>1428</v>
      </c>
      <c r="J6" s="10">
        <f>N6/$N$13</f>
        <v>0.18587614465311189</v>
      </c>
      <c r="K6">
        <f>K5+I6</f>
        <v>5988</v>
      </c>
      <c r="M6">
        <f>M5+F6</f>
        <v>6011</v>
      </c>
      <c r="N6">
        <f>N5+I6</f>
        <v>5988</v>
      </c>
    </row>
    <row r="7" spans="1:14" x14ac:dyDescent="0.3">
      <c r="A7">
        <v>2078</v>
      </c>
      <c r="B7">
        <v>59</v>
      </c>
      <c r="C7" t="s">
        <v>3</v>
      </c>
      <c r="E7" s="15">
        <v>0.75</v>
      </c>
      <c r="F7" s="1">
        <v>10267</v>
      </c>
      <c r="G7" s="3">
        <f t="shared" si="0"/>
        <v>0.50574784067607037</v>
      </c>
      <c r="H7" s="16">
        <v>0.75</v>
      </c>
      <c r="I7" s="9">
        <v>10269</v>
      </c>
      <c r="J7" s="10">
        <f>N7/$N$13</f>
        <v>0.50464069532826328</v>
      </c>
      <c r="K7">
        <f>K6+I7</f>
        <v>16257</v>
      </c>
      <c r="M7">
        <f>M6+F7</f>
        <v>16278</v>
      </c>
      <c r="N7">
        <f>N6+I7</f>
        <v>16257</v>
      </c>
    </row>
    <row r="8" spans="1:14" x14ac:dyDescent="0.3">
      <c r="A8">
        <v>2081</v>
      </c>
      <c r="B8">
        <v>59</v>
      </c>
      <c r="C8" t="s">
        <v>4</v>
      </c>
      <c r="E8" s="15">
        <v>0.79</v>
      </c>
      <c r="F8" s="1">
        <v>2289</v>
      </c>
      <c r="G8" s="3">
        <f t="shared" si="0"/>
        <v>0.5768657180140434</v>
      </c>
      <c r="H8" s="16">
        <v>0.76</v>
      </c>
      <c r="I8" s="9">
        <v>2285</v>
      </c>
      <c r="J8" s="10">
        <f>N8/$N$13</f>
        <v>0.57557038646593206</v>
      </c>
      <c r="K8">
        <f>K7+I8</f>
        <v>18542</v>
      </c>
      <c r="M8">
        <f>M7+F8</f>
        <v>18567</v>
      </c>
      <c r="N8">
        <f>N7+I8</f>
        <v>18542</v>
      </c>
    </row>
    <row r="9" spans="1:14" x14ac:dyDescent="0.3">
      <c r="A9">
        <v>675</v>
      </c>
      <c r="B9">
        <v>61.6</v>
      </c>
      <c r="C9" t="s">
        <v>3</v>
      </c>
      <c r="E9" s="15">
        <v>0.81</v>
      </c>
      <c r="F9" s="1">
        <f>2223+5137</f>
        <v>7360</v>
      </c>
      <c r="G9" s="3">
        <f t="shared" si="0"/>
        <v>0.80553656869446344</v>
      </c>
      <c r="H9" s="16">
        <v>0.81</v>
      </c>
      <c r="I9" s="9">
        <v>5168</v>
      </c>
      <c r="J9" s="10">
        <f>N9/$N$13</f>
        <v>0.73599255005432251</v>
      </c>
      <c r="K9">
        <f>K8+I9</f>
        <v>23710</v>
      </c>
      <c r="M9">
        <f t="shared" ref="M9:M12" si="1">M8+F9</f>
        <v>25927</v>
      </c>
      <c r="N9">
        <f>N8+I9</f>
        <v>23710</v>
      </c>
    </row>
    <row r="10" spans="1:14" x14ac:dyDescent="0.3">
      <c r="A10">
        <v>676</v>
      </c>
      <c r="B10">
        <v>61.4</v>
      </c>
      <c r="C10" t="s">
        <v>4</v>
      </c>
      <c r="E10" s="15">
        <v>0.83</v>
      </c>
      <c r="F10" s="1">
        <v>833</v>
      </c>
      <c r="G10" s="3">
        <f t="shared" si="0"/>
        <v>0.83141738644130991</v>
      </c>
      <c r="H10" s="16">
        <v>0.82</v>
      </c>
      <c r="I10" s="9">
        <v>2221</v>
      </c>
      <c r="J10" s="10">
        <f>N10/$N$13</f>
        <v>0.80493558901133011</v>
      </c>
      <c r="K10">
        <f>K9+I10</f>
        <v>25931</v>
      </c>
      <c r="M10">
        <f t="shared" si="1"/>
        <v>26760</v>
      </c>
      <c r="N10">
        <f>N9+I10</f>
        <v>25931</v>
      </c>
    </row>
    <row r="11" spans="1:14" x14ac:dyDescent="0.3">
      <c r="A11">
        <v>3301</v>
      </c>
      <c r="B11">
        <v>58</v>
      </c>
      <c r="C11" t="s">
        <v>3</v>
      </c>
      <c r="E11" s="15">
        <v>0.86</v>
      </c>
      <c r="F11" s="1">
        <v>2133</v>
      </c>
      <c r="G11" s="3">
        <f t="shared" si="0"/>
        <v>0.89768843596594794</v>
      </c>
      <c r="H11" s="16">
        <v>0.84</v>
      </c>
      <c r="I11" s="9">
        <v>844</v>
      </c>
      <c r="J11" s="10">
        <f>N11/$N$13</f>
        <v>0.83113456464379942</v>
      </c>
      <c r="K11">
        <f>K10+I11</f>
        <v>26775</v>
      </c>
      <c r="M11">
        <f t="shared" si="1"/>
        <v>28893</v>
      </c>
      <c r="N11">
        <f>N10+I11</f>
        <v>26775</v>
      </c>
    </row>
    <row r="12" spans="1:14" x14ac:dyDescent="0.3">
      <c r="A12">
        <v>3304</v>
      </c>
      <c r="B12">
        <v>58</v>
      </c>
      <c r="C12" t="s">
        <v>4</v>
      </c>
      <c r="E12" s="19">
        <v>1</v>
      </c>
      <c r="F12" s="9">
        <v>3293</v>
      </c>
      <c r="G12" s="3">
        <f t="shared" si="0"/>
        <v>1</v>
      </c>
      <c r="H12" s="16">
        <v>0.86</v>
      </c>
      <c r="I12" s="9">
        <v>2138</v>
      </c>
      <c r="J12" s="10">
        <f>N12/$N$13</f>
        <v>0.89750116405401215</v>
      </c>
      <c r="K12">
        <f>K11+I12</f>
        <v>28913</v>
      </c>
      <c r="M12">
        <f t="shared" si="1"/>
        <v>32186</v>
      </c>
      <c r="N12">
        <f>N11+I12</f>
        <v>28913</v>
      </c>
    </row>
    <row r="13" spans="1:14" x14ac:dyDescent="0.3">
      <c r="A13">
        <v>4502</v>
      </c>
      <c r="B13">
        <v>62</v>
      </c>
      <c r="C13" t="s">
        <v>3</v>
      </c>
      <c r="E13" s="2"/>
      <c r="F13" s="2"/>
      <c r="G13" s="20"/>
      <c r="H13" s="17">
        <v>1</v>
      </c>
      <c r="I13" s="2">
        <v>3302</v>
      </c>
      <c r="J13" s="4">
        <f>N13/$N$13</f>
        <v>1</v>
      </c>
      <c r="K13">
        <f>K12+I13</f>
        <v>32215</v>
      </c>
      <c r="N13">
        <f>N12+I13</f>
        <v>32215</v>
      </c>
    </row>
    <row r="14" spans="1:14" x14ac:dyDescent="0.3">
      <c r="A14">
        <v>4512</v>
      </c>
      <c r="B14">
        <v>62</v>
      </c>
      <c r="C14" t="s">
        <v>4</v>
      </c>
      <c r="G14" s="3"/>
      <c r="H14" s="8"/>
      <c r="I14" s="9"/>
      <c r="J14" s="10"/>
    </row>
    <row r="15" spans="1:14" x14ac:dyDescent="0.3">
      <c r="A15">
        <v>2133</v>
      </c>
      <c r="B15">
        <v>60</v>
      </c>
      <c r="C15" t="s">
        <v>3</v>
      </c>
      <c r="G15" s="3"/>
      <c r="H15" s="8"/>
      <c r="I15" s="9"/>
      <c r="J15" s="10"/>
    </row>
    <row r="16" spans="1:14" x14ac:dyDescent="0.3">
      <c r="A16">
        <v>2138</v>
      </c>
      <c r="B16">
        <v>59.7</v>
      </c>
      <c r="C16" t="s">
        <v>4</v>
      </c>
      <c r="G16" s="3"/>
      <c r="H16" s="8"/>
      <c r="I16" s="9"/>
      <c r="J16" s="10"/>
    </row>
    <row r="17" spans="1:10" x14ac:dyDescent="0.3">
      <c r="A17">
        <v>833</v>
      </c>
      <c r="B17">
        <v>60</v>
      </c>
      <c r="C17" t="s">
        <v>3</v>
      </c>
      <c r="G17" s="3"/>
      <c r="H17" s="8"/>
      <c r="I17" s="9"/>
      <c r="J17" s="10"/>
    </row>
    <row r="18" spans="1:10" x14ac:dyDescent="0.3">
      <c r="A18">
        <v>844</v>
      </c>
      <c r="B18">
        <v>60</v>
      </c>
      <c r="C18" t="s">
        <v>4</v>
      </c>
      <c r="G18" s="3"/>
      <c r="H18" s="8"/>
      <c r="I18" s="9"/>
      <c r="J18" s="10"/>
    </row>
    <row r="19" spans="1:10" x14ac:dyDescent="0.3">
      <c r="A19">
        <v>10267</v>
      </c>
      <c r="B19">
        <v>65.2</v>
      </c>
      <c r="C19" t="s">
        <v>3</v>
      </c>
      <c r="G19" s="3"/>
      <c r="H19" s="8"/>
      <c r="I19" s="9"/>
      <c r="J19" s="10"/>
    </row>
    <row r="20" spans="1:10" x14ac:dyDescent="0.3">
      <c r="A20">
        <v>10269</v>
      </c>
      <c r="B20">
        <v>65.2</v>
      </c>
      <c r="C20" t="s">
        <v>4</v>
      </c>
      <c r="G20" s="3"/>
      <c r="H20" s="8"/>
      <c r="I20" s="9"/>
      <c r="J20" s="10"/>
    </row>
    <row r="21" spans="1:10" x14ac:dyDescent="0.3">
      <c r="A21">
        <v>2913</v>
      </c>
      <c r="B21">
        <v>75.3</v>
      </c>
      <c r="C21" t="s">
        <v>3</v>
      </c>
      <c r="G21" s="3"/>
      <c r="H21" s="8"/>
      <c r="I21" s="9"/>
      <c r="J21" s="10"/>
    </row>
    <row r="22" spans="1:10" x14ac:dyDescent="0.3">
      <c r="A22">
        <v>2891</v>
      </c>
      <c r="B22">
        <v>75.400000000000006</v>
      </c>
      <c r="C22" t="s">
        <v>4</v>
      </c>
      <c r="E22" s="2"/>
      <c r="F22" s="2"/>
      <c r="G22" s="3"/>
      <c r="H22" s="7"/>
      <c r="I22" s="2"/>
      <c r="J22" s="4"/>
    </row>
    <row r="23" spans="1:10" x14ac:dyDescent="0.3">
      <c r="A23">
        <v>5185</v>
      </c>
      <c r="B23">
        <v>66.3</v>
      </c>
      <c r="C23" t="s">
        <v>3</v>
      </c>
      <c r="G23" s="3"/>
    </row>
    <row r="24" spans="1:10" x14ac:dyDescent="0.3">
      <c r="A24">
        <v>5170</v>
      </c>
      <c r="B24">
        <v>66.400000000000006</v>
      </c>
      <c r="C24" t="s">
        <v>4</v>
      </c>
      <c r="G24" s="3"/>
    </row>
    <row r="25" spans="1:10" x14ac:dyDescent="0.3">
      <c r="A25">
        <v>5137</v>
      </c>
      <c r="B25">
        <v>63.2</v>
      </c>
      <c r="C25" t="s">
        <v>3</v>
      </c>
      <c r="G25" s="3"/>
    </row>
    <row r="26" spans="1:10" x14ac:dyDescent="0.3">
      <c r="A26">
        <v>5168</v>
      </c>
      <c r="B26">
        <v>63.1</v>
      </c>
      <c r="C26" t="s">
        <v>4</v>
      </c>
      <c r="G26" s="3"/>
    </row>
    <row r="27" spans="1:10" x14ac:dyDescent="0.3">
      <c r="A27">
        <v>1052</v>
      </c>
      <c r="B27">
        <v>50</v>
      </c>
      <c r="C27" t="s">
        <v>3</v>
      </c>
      <c r="G27" s="3"/>
    </row>
    <row r="28" spans="1:10" x14ac:dyDescent="0.3">
      <c r="A28">
        <v>1050</v>
      </c>
      <c r="B28">
        <v>49.5</v>
      </c>
      <c r="C28" t="s">
        <v>4</v>
      </c>
      <c r="G28" s="3"/>
    </row>
    <row r="29" spans="1:10" x14ac:dyDescent="0.3">
      <c r="A29">
        <v>1410</v>
      </c>
      <c r="B29">
        <v>61.8</v>
      </c>
      <c r="C29" t="s">
        <v>3</v>
      </c>
      <c r="G29" s="3"/>
    </row>
    <row r="30" spans="1:10" x14ac:dyDescent="0.3">
      <c r="A30">
        <v>1428</v>
      </c>
      <c r="B30">
        <v>61.5</v>
      </c>
      <c r="C30" t="s">
        <v>4</v>
      </c>
      <c r="G30" s="3"/>
    </row>
    <row r="31" spans="1:10" x14ac:dyDescent="0.3">
      <c r="A31">
        <v>1225</v>
      </c>
      <c r="B31">
        <v>61.3</v>
      </c>
      <c r="C31" t="s">
        <v>3</v>
      </c>
      <c r="G31" s="3"/>
    </row>
    <row r="32" spans="1:10" x14ac:dyDescent="0.3">
      <c r="A32">
        <v>1217</v>
      </c>
      <c r="B32">
        <v>61.1</v>
      </c>
      <c r="C32" t="s">
        <v>4</v>
      </c>
      <c r="G32" s="3"/>
    </row>
    <row r="33" spans="1:7" x14ac:dyDescent="0.3">
      <c r="A33">
        <v>636</v>
      </c>
      <c r="B33">
        <v>65.7</v>
      </c>
      <c r="C33" t="s">
        <v>3</v>
      </c>
      <c r="G33" s="3"/>
    </row>
    <row r="34" spans="1:7" x14ac:dyDescent="0.3">
      <c r="A34">
        <v>619</v>
      </c>
      <c r="B34">
        <v>65.7</v>
      </c>
      <c r="C34" t="s">
        <v>4</v>
      </c>
      <c r="G34" s="3"/>
    </row>
    <row r="35" spans="1:7" x14ac:dyDescent="0.3">
      <c r="A35">
        <v>1199</v>
      </c>
      <c r="B35">
        <v>61</v>
      </c>
      <c r="C35" t="s">
        <v>3</v>
      </c>
      <c r="G35" s="3"/>
    </row>
    <row r="36" spans="1:7" x14ac:dyDescent="0.3">
      <c r="A36">
        <v>1211</v>
      </c>
      <c r="B36">
        <v>61.1</v>
      </c>
      <c r="C36" t="s">
        <v>4</v>
      </c>
      <c r="G36" s="3"/>
    </row>
    <row r="37" spans="1:7" x14ac:dyDescent="0.3">
      <c r="A37">
        <v>3866</v>
      </c>
      <c r="B37">
        <v>58.4</v>
      </c>
      <c r="C37" t="s">
        <v>3</v>
      </c>
      <c r="G37" s="3"/>
    </row>
    <row r="38" spans="1:7" x14ac:dyDescent="0.3">
      <c r="A38">
        <v>3966</v>
      </c>
      <c r="B38">
        <v>58.2</v>
      </c>
      <c r="C38" t="s">
        <v>4</v>
      </c>
      <c r="G38" s="3"/>
    </row>
    <row r="39" spans="1:7" x14ac:dyDescent="0.3">
      <c r="A39">
        <v>8901</v>
      </c>
      <c r="B39">
        <v>66</v>
      </c>
      <c r="C39" t="s">
        <v>3</v>
      </c>
      <c r="G39" s="3"/>
    </row>
    <row r="40" spans="1:7" x14ac:dyDescent="0.3">
      <c r="A40">
        <v>8901</v>
      </c>
      <c r="B40">
        <v>66</v>
      </c>
      <c r="C40" t="s">
        <v>4</v>
      </c>
      <c r="G40" s="3"/>
    </row>
    <row r="41" spans="1:7" x14ac:dyDescent="0.3">
      <c r="A41">
        <v>2289</v>
      </c>
      <c r="B41">
        <v>68</v>
      </c>
      <c r="C41" t="s">
        <v>3</v>
      </c>
      <c r="G41" s="3"/>
    </row>
    <row r="42" spans="1:7" x14ac:dyDescent="0.3">
      <c r="A42">
        <v>2285</v>
      </c>
      <c r="B42">
        <v>68</v>
      </c>
      <c r="C42" t="s">
        <v>4</v>
      </c>
      <c r="G42" s="3"/>
    </row>
    <row r="43" spans="1:7" x14ac:dyDescent="0.3">
      <c r="A43">
        <v>1384</v>
      </c>
      <c r="B43">
        <v>64.3</v>
      </c>
      <c r="C43" t="s">
        <v>3</v>
      </c>
      <c r="G43" s="3"/>
    </row>
    <row r="44" spans="1:7" x14ac:dyDescent="0.3">
      <c r="A44">
        <v>1389</v>
      </c>
      <c r="B44">
        <v>64.099999999999994</v>
      </c>
      <c r="C44" t="s">
        <v>4</v>
      </c>
      <c r="G44" s="3"/>
    </row>
  </sheetData>
  <autoFilter ref="A2:C44" xr:uid="{358D37DF-A1E4-41C1-BCB2-AABC72AB1560}"/>
  <sortState xmlns:xlrd2="http://schemas.microsoft.com/office/spreadsheetml/2017/richdata2" ref="E3:F13">
    <sortCondition ref="E3:E13"/>
  </sortState>
  <mergeCells count="2">
    <mergeCell ref="E1:G1"/>
    <mergeCell ref="H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B20A-58B8-437D-87B0-60B2741EE7E5}">
  <dimension ref="A1:D25"/>
  <sheetViews>
    <sheetView workbookViewId="0">
      <selection activeCell="B2" sqref="B2"/>
    </sheetView>
  </sheetViews>
  <sheetFormatPr defaultRowHeight="14" x14ac:dyDescent="0.3"/>
  <cols>
    <col min="3" max="3" width="8.6640625" style="18"/>
    <col min="4" max="4" width="8.6640625" style="14"/>
  </cols>
  <sheetData>
    <row r="1" spans="1:4" x14ac:dyDescent="0.3">
      <c r="A1" s="5" t="s">
        <v>6</v>
      </c>
      <c r="B1" s="5"/>
      <c r="C1" s="6" t="s">
        <v>7</v>
      </c>
      <c r="D1" s="5"/>
    </row>
    <row r="2" spans="1:4" x14ac:dyDescent="0.3">
      <c r="A2" s="2" t="s">
        <v>10</v>
      </c>
      <c r="B2" s="2" t="s">
        <v>5</v>
      </c>
      <c r="C2" s="7" t="s">
        <v>10</v>
      </c>
      <c r="D2" s="2" t="s">
        <v>5</v>
      </c>
    </row>
    <row r="3" spans="1:4" x14ac:dyDescent="0.3">
      <c r="A3" s="1">
        <v>0</v>
      </c>
      <c r="B3" s="1">
        <v>0</v>
      </c>
      <c r="C3" s="8">
        <v>0</v>
      </c>
      <c r="D3" s="9">
        <v>0</v>
      </c>
    </row>
    <row r="4" spans="1:4" x14ac:dyDescent="0.3">
      <c r="A4" s="1">
        <v>0.48</v>
      </c>
      <c r="B4" s="1">
        <v>0</v>
      </c>
      <c r="C4" s="8">
        <v>0.48</v>
      </c>
      <c r="D4" s="9">
        <v>0</v>
      </c>
    </row>
    <row r="5" spans="1:4" x14ac:dyDescent="0.3">
      <c r="A5" s="1">
        <v>0.48</v>
      </c>
      <c r="B5" s="1">
        <v>9.0505188591312999E-2</v>
      </c>
      <c r="C5" s="8">
        <v>0.48</v>
      </c>
      <c r="D5" s="9">
        <v>8.9740803973304362E-2</v>
      </c>
    </row>
    <row r="6" spans="1:4" x14ac:dyDescent="0.3">
      <c r="A6" s="1">
        <v>0.54</v>
      </c>
      <c r="B6" s="1">
        <f>B5</f>
        <v>9.0505188591312999E-2</v>
      </c>
      <c r="C6" s="8">
        <v>0.54</v>
      </c>
      <c r="D6" s="9">
        <f>D5</f>
        <v>8.9740803973304362E-2</v>
      </c>
    </row>
    <row r="7" spans="1:4" x14ac:dyDescent="0.3">
      <c r="A7" s="1">
        <v>0.54</v>
      </c>
      <c r="B7" s="1">
        <v>0.11026533275337103</v>
      </c>
      <c r="C7" s="8">
        <v>0.54</v>
      </c>
      <c r="D7" s="9">
        <v>0.10895545553313674</v>
      </c>
    </row>
    <row r="8" spans="1:4" x14ac:dyDescent="0.3">
      <c r="A8" s="1">
        <v>0.65</v>
      </c>
      <c r="B8" s="1">
        <f>B7</f>
        <v>0.11026533275337103</v>
      </c>
      <c r="C8" s="8">
        <v>0.67</v>
      </c>
      <c r="D8" s="9">
        <f>D7</f>
        <v>0.10895545553313674</v>
      </c>
    </row>
    <row r="9" spans="1:4" x14ac:dyDescent="0.3">
      <c r="A9" s="1">
        <v>0.65</v>
      </c>
      <c r="B9" s="1">
        <v>0.14295035108432239</v>
      </c>
      <c r="C9" s="8">
        <v>0.67</v>
      </c>
      <c r="D9" s="9">
        <v>0.14154896787210927</v>
      </c>
    </row>
    <row r="10" spans="1:4" x14ac:dyDescent="0.3">
      <c r="A10" s="1">
        <v>0.68</v>
      </c>
      <c r="B10" s="1">
        <f>B9</f>
        <v>0.14295035108432239</v>
      </c>
      <c r="C10" s="8">
        <v>0.68</v>
      </c>
      <c r="D10" s="9">
        <f>D9</f>
        <v>0.14154896787210927</v>
      </c>
    </row>
    <row r="11" spans="1:4" x14ac:dyDescent="0.3">
      <c r="A11" s="1">
        <v>0.68</v>
      </c>
      <c r="B11" s="1">
        <v>0.18675821785869634</v>
      </c>
      <c r="C11" s="8">
        <v>0.68</v>
      </c>
      <c r="D11" s="9">
        <v>0.18587614465311189</v>
      </c>
    </row>
    <row r="12" spans="1:4" x14ac:dyDescent="0.3">
      <c r="A12" s="1">
        <v>0.75</v>
      </c>
      <c r="B12" s="1">
        <f>B11</f>
        <v>0.18675821785869634</v>
      </c>
      <c r="C12" s="8">
        <v>0.75</v>
      </c>
      <c r="D12" s="9">
        <f>D11</f>
        <v>0.18587614465311189</v>
      </c>
    </row>
    <row r="13" spans="1:4" x14ac:dyDescent="0.3">
      <c r="A13" s="1">
        <v>0.75</v>
      </c>
      <c r="B13" s="1">
        <v>0.50574784067607037</v>
      </c>
      <c r="C13" s="8">
        <v>0.75</v>
      </c>
      <c r="D13" s="9">
        <v>0.50464069532826328</v>
      </c>
    </row>
    <row r="14" spans="1:4" x14ac:dyDescent="0.3">
      <c r="A14" s="1">
        <v>0.79</v>
      </c>
      <c r="B14" s="1">
        <f>B13</f>
        <v>0.50574784067607037</v>
      </c>
      <c r="C14" s="8">
        <v>0.76</v>
      </c>
      <c r="D14" s="9">
        <f>D13</f>
        <v>0.50464069532826328</v>
      </c>
    </row>
    <row r="15" spans="1:4" x14ac:dyDescent="0.3">
      <c r="A15" s="1">
        <v>0.79</v>
      </c>
      <c r="B15" s="1">
        <v>0.5768657180140434</v>
      </c>
      <c r="C15" s="8">
        <v>0.76</v>
      </c>
      <c r="D15" s="9">
        <v>0.57557038646593206</v>
      </c>
    </row>
    <row r="16" spans="1:4" x14ac:dyDescent="0.3">
      <c r="A16" s="1">
        <v>0.81</v>
      </c>
      <c r="B16" s="1">
        <f>B15</f>
        <v>0.5768657180140434</v>
      </c>
      <c r="C16" s="8">
        <v>0.81</v>
      </c>
      <c r="D16" s="9">
        <f>D15</f>
        <v>0.57557038646593206</v>
      </c>
    </row>
    <row r="17" spans="1:4" x14ac:dyDescent="0.3">
      <c r="A17" s="1">
        <v>0.81</v>
      </c>
      <c r="B17" s="1">
        <v>0.80553656869446344</v>
      </c>
      <c r="C17" s="8">
        <v>0.81</v>
      </c>
      <c r="D17" s="9">
        <v>0.73599255005432251</v>
      </c>
    </row>
    <row r="18" spans="1:4" x14ac:dyDescent="0.3">
      <c r="A18" s="1">
        <v>0.83</v>
      </c>
      <c r="B18" s="1">
        <f>B17</f>
        <v>0.80553656869446344</v>
      </c>
      <c r="C18" s="8">
        <v>0.82</v>
      </c>
      <c r="D18" s="9">
        <f>D17</f>
        <v>0.73599255005432251</v>
      </c>
    </row>
    <row r="19" spans="1:4" x14ac:dyDescent="0.3">
      <c r="A19" s="1">
        <v>0.83</v>
      </c>
      <c r="B19" s="1">
        <v>0.83141738644130991</v>
      </c>
      <c r="C19" s="8">
        <v>0.82</v>
      </c>
      <c r="D19" s="9">
        <v>0.80493558901133011</v>
      </c>
    </row>
    <row r="20" spans="1:4" x14ac:dyDescent="0.3">
      <c r="A20" s="1">
        <v>0.86</v>
      </c>
      <c r="B20" s="1">
        <f>B19</f>
        <v>0.83141738644130991</v>
      </c>
      <c r="C20" s="8">
        <v>0.84</v>
      </c>
      <c r="D20" s="9">
        <f>D19</f>
        <v>0.80493558901133011</v>
      </c>
    </row>
    <row r="21" spans="1:4" x14ac:dyDescent="0.3">
      <c r="A21" s="1">
        <v>0.86</v>
      </c>
      <c r="B21" s="1">
        <v>0.89768843596594794</v>
      </c>
      <c r="C21" s="8">
        <v>0.84</v>
      </c>
      <c r="D21" s="9">
        <v>0.83113456464379942</v>
      </c>
    </row>
    <row r="22" spans="1:4" x14ac:dyDescent="0.3">
      <c r="A22" s="1">
        <v>1</v>
      </c>
      <c r="B22" s="1">
        <f>B21</f>
        <v>0.89768843596594794</v>
      </c>
      <c r="C22" s="8">
        <v>0.86</v>
      </c>
      <c r="D22" s="9">
        <f>D21</f>
        <v>0.83113456464379942</v>
      </c>
    </row>
    <row r="23" spans="1:4" x14ac:dyDescent="0.3">
      <c r="A23" s="1">
        <v>1</v>
      </c>
      <c r="B23" s="1">
        <v>1</v>
      </c>
      <c r="C23" s="8">
        <v>0.86</v>
      </c>
      <c r="D23" s="9">
        <v>0.89750116405401215</v>
      </c>
    </row>
    <row r="24" spans="1:4" x14ac:dyDescent="0.3">
      <c r="A24" s="1"/>
      <c r="B24" s="1"/>
      <c r="C24" s="8">
        <v>1</v>
      </c>
      <c r="D24" s="9">
        <f>D23</f>
        <v>0.89750116405401215</v>
      </c>
    </row>
    <row r="25" spans="1:4" x14ac:dyDescent="0.3">
      <c r="A25" s="2"/>
      <c r="B25" s="2"/>
      <c r="C25" s="7">
        <v>1</v>
      </c>
      <c r="D25" s="2">
        <v>1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Aiello</dc:creator>
  <cp:lastModifiedBy>Fabio Aiello</cp:lastModifiedBy>
  <dcterms:created xsi:type="dcterms:W3CDTF">2024-02-14T21:02:00Z</dcterms:created>
  <dcterms:modified xsi:type="dcterms:W3CDTF">2024-02-14T22:03:02Z</dcterms:modified>
</cp:coreProperties>
</file>